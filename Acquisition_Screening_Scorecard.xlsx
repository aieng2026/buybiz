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Broker Vetting" sheetId="2" state="visible" r:id="rId2"/>
    <sheet xmlns:r="http://schemas.openxmlformats.org/officeDocument/2006/relationships" name="Scoring Guide" sheetId="3" state="visible" r:id="rId3"/>
    <sheet xmlns:r="http://schemas.openxmlformats.org/officeDocument/2006/relationships" name="Industry Checks" sheetId="4" state="visible" r:id="rId4"/>
    <sheet xmlns:r="http://schemas.openxmlformats.org/officeDocument/2006/relationships" name="Buy Bo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x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00000"/>
      <sz val="9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color rgb="00000000"/>
      <sz val="9"/>
    </font>
    <font>
      <name val="Arial"/>
      <b val="1"/>
      <color rgb="000000FF"/>
      <sz val="11"/>
    </font>
    <font>
      <name val="Arial"/>
      <color rgb="00808080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2"/>
    </font>
    <font>
      <name val="Arial"/>
      <b val="1"/>
      <color rgb="00000000"/>
      <sz val="14"/>
    </font>
    <font>
      <name val="Arial"/>
      <i val="1"/>
      <color rgb="00C00000"/>
      <sz val="9"/>
    </font>
    <font>
      <name val="Arial"/>
      <b val="1"/>
      <color rgb="00000000"/>
      <sz val="9"/>
    </font>
    <font>
      <name val="Arial"/>
      <b val="1"/>
      <color rgb="00FFFFFF"/>
      <sz val="14"/>
    </font>
    <font>
      <name val="Arial"/>
      <color rgb="009C0006"/>
      <sz val="9"/>
    </font>
    <font>
      <name val="Arial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6CC"/>
      </patternFill>
    </fill>
    <fill>
      <patternFill patternType="solid">
        <fgColor rgb="002E7D8A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right" vertical="center"/>
    </xf>
    <xf numFmtId="0" fontId="0" fillId="2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pivotButton="0" quotePrefix="0" xfId="0"/>
    <xf numFmtId="0" fontId="5" fillId="3" borderId="1" applyAlignment="1" pivotButton="0" quotePrefix="0" xfId="0">
      <alignment horizontal="left" vertical="top" wrapText="1"/>
    </xf>
    <xf numFmtId="0" fontId="19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12" fillId="2" borderId="10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006100"/>
        <sz val="14"/>
      </font>
      <fill>
        <patternFill patternType="solid">
          <fgColor rgb="00C6EFCE"/>
        </patternFill>
      </fill>
    </dxf>
    <dxf>
      <font>
        <name val="Arial"/>
        <b val="1"/>
        <color rgb="009C6500"/>
        <sz val="14"/>
      </font>
      <fill>
        <patternFill patternType="solid">
          <fgColor rgb="00FFEB9C"/>
        </patternFill>
      </fill>
    </dxf>
    <dxf>
      <font>
        <name val="Arial"/>
        <b val="1"/>
        <color rgb="009C0006"/>
        <sz val="14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10" customWidth="1" min="4" max="4"/>
    <col width="10" customWidth="1" min="5" max="5"/>
    <col width="12" customWidth="1" min="6" max="6"/>
    <col width="22" customWidth="1" min="7" max="7"/>
  </cols>
  <sheetData>
    <row r="2" ht="30" customHeight="1">
      <c r="B2" s="1" t="inlineStr">
        <is>
          <t>ACQUISITION DEAL — STAGE-2 SCREENING SCORECARD</t>
        </is>
      </c>
    </row>
    <row r="3">
      <c r="B3" s="2" t="inlineStr">
        <is>
          <t>15-minute triage  •  Buy box: $600K+ EBITDA  •  ≤$10M deal  •  FL/NJ/NY/PA/CT  •  recurring, mgmt in place</t>
        </is>
      </c>
    </row>
    <row r="5" ht="24" customHeight="1">
      <c r="B5" s="3" t="inlineStr">
        <is>
          <t>DEAL INFORMATION</t>
        </is>
      </c>
    </row>
    <row r="6">
      <c r="B6" s="4" t="inlineStr">
        <is>
          <t>Deal name</t>
        </is>
      </c>
      <c r="C6" s="5" t="n"/>
      <c r="D6" s="8" t="n"/>
      <c r="E6" s="8" t="n"/>
      <c r="F6" s="8" t="n"/>
      <c r="G6" s="9" t="n"/>
    </row>
    <row r="7">
      <c r="B7" s="4" t="inlineStr">
        <is>
          <t>Source / broker</t>
        </is>
      </c>
      <c r="C7" s="5" t="n"/>
      <c r="D7" s="8" t="n"/>
      <c r="E7" s="8" t="n"/>
      <c r="F7" s="8" t="n"/>
      <c r="G7" s="9" t="n"/>
    </row>
    <row r="8">
      <c r="B8" s="4" t="inlineStr">
        <is>
          <t>Date screened</t>
        </is>
      </c>
      <c r="C8" s="5" t="n"/>
      <c r="D8" s="8" t="n"/>
      <c r="E8" s="8" t="n"/>
      <c r="F8" s="8" t="n"/>
      <c r="G8" s="9" t="n"/>
    </row>
    <row r="9">
      <c r="B9" s="4" t="inlineStr">
        <is>
          <t>Industry (target list)</t>
        </is>
      </c>
      <c r="C9" s="5" t="n"/>
      <c r="D9" s="8" t="n"/>
      <c r="E9" s="8" t="n"/>
      <c r="F9" s="8" t="n"/>
      <c r="G9" s="9" t="n"/>
    </row>
    <row r="10">
      <c r="B10" s="4" t="inlineStr">
        <is>
          <t>State</t>
        </is>
      </c>
      <c r="C10" s="5" t="n"/>
      <c r="D10" s="8" t="n"/>
      <c r="E10" s="8" t="n"/>
      <c r="F10" s="8" t="n"/>
      <c r="G10" s="9" t="n"/>
    </row>
    <row r="11">
      <c r="B11" s="4" t="inlineStr">
        <is>
          <t>Asking price ($)</t>
        </is>
      </c>
      <c r="C11" s="5" t="n"/>
      <c r="D11" s="8" t="n"/>
      <c r="E11" s="8" t="n"/>
      <c r="F11" s="8" t="n"/>
      <c r="G11" s="9" t="n"/>
    </row>
    <row r="12">
      <c r="B12" s="4" t="inlineStr">
        <is>
          <t>EBITDA / SDE ($)</t>
        </is>
      </c>
      <c r="C12" s="5" t="n"/>
      <c r="D12" s="8" t="n"/>
      <c r="E12" s="8" t="n"/>
      <c r="F12" s="8" t="n"/>
      <c r="G12" s="9" t="n"/>
    </row>
    <row r="13">
      <c r="B13" s="4" t="inlineStr">
        <is>
          <t>Implied multiple (Ask / EBITDA)</t>
        </is>
      </c>
      <c r="C13" s="6">
        <f>IF(C12=0,"-",C11/C12)</f>
        <v/>
      </c>
      <c r="D13" s="8" t="n"/>
      <c r="E13" s="8" t="n"/>
      <c r="F13" s="8" t="n"/>
      <c r="G13" s="9" t="n"/>
    </row>
    <row r="15" ht="24" customHeight="1">
      <c r="B15" s="3" t="inlineStr">
        <is>
          <t>SECTION 1 — KILL SWITCHES   (any 'No' = STOP)</t>
        </is>
      </c>
    </row>
    <row r="16">
      <c r="B16" s="7" t="inlineStr">
        <is>
          <t>#</t>
        </is>
      </c>
      <c r="C16" s="7" t="inlineStr">
        <is>
          <t>Question</t>
        </is>
      </c>
      <c r="D16" s="8" t="n"/>
      <c r="E16" s="9" t="n"/>
      <c r="F16" s="7" t="inlineStr">
        <is>
          <t>Y/N</t>
        </is>
      </c>
    </row>
    <row r="17">
      <c r="B17" s="10" t="n">
        <v>1</v>
      </c>
      <c r="C17" s="11" t="inlineStr">
        <is>
          <t>Located in FL, NJ, NY, PA, or CT?</t>
        </is>
      </c>
      <c r="D17" s="8" t="n"/>
      <c r="E17" s="9" t="n"/>
      <c r="F17" s="12" t="inlineStr"/>
    </row>
    <row r="18">
      <c r="B18" s="10" t="n">
        <v>2</v>
      </c>
      <c r="C18" s="11" t="inlineStr">
        <is>
          <t>Implied deal size &lt;= $10M?</t>
        </is>
      </c>
      <c r="D18" s="8" t="n"/>
      <c r="E18" s="9" t="n"/>
      <c r="F18" s="12" t="inlineStr"/>
    </row>
    <row r="19">
      <c r="B19" s="10" t="n">
        <v>3</v>
      </c>
      <c r="C19" s="11" t="inlineStr">
        <is>
          <t>Stated/implied SDE or EBITDA &gt;= $600K?</t>
        </is>
      </c>
      <c r="D19" s="8" t="n"/>
      <c r="E19" s="9" t="n"/>
      <c r="F19" s="12" t="inlineStr"/>
    </row>
    <row r="20">
      <c r="B20" s="10" t="n">
        <v>4</v>
      </c>
      <c r="C20" s="11" t="inlineStr">
        <is>
          <t>One of the 6 target industries (or close adjacent)?</t>
        </is>
      </c>
      <c r="D20" s="8" t="n"/>
      <c r="E20" s="9" t="n"/>
      <c r="F20" s="12" t="inlineStr"/>
    </row>
    <row r="21">
      <c r="B21" s="10" t="n">
        <v>5</v>
      </c>
      <c r="C21" s="11" t="inlineStr">
        <is>
          <t>Owner retiring/motivated (NOT distressed fire-sale or pivot)?</t>
        </is>
      </c>
      <c r="D21" s="8" t="n"/>
      <c r="E21" s="9" t="n"/>
      <c r="F21" s="12" t="inlineStr"/>
    </row>
    <row r="22">
      <c r="B22" s="10" t="n">
        <v>6</v>
      </c>
      <c r="C22" s="11" t="inlineStr">
        <is>
          <t>Recurring/contract revenue model (not pure one-time/project)?</t>
        </is>
      </c>
      <c r="D22" s="8" t="n"/>
      <c r="E22" s="9" t="n"/>
      <c r="F22" s="12" t="inlineStr"/>
    </row>
    <row r="23">
      <c r="B23" s="13" t="inlineStr">
        <is>
          <t>ALL PASS?</t>
        </is>
      </c>
      <c r="F23" s="10">
        <f>IF(COUNTIF(F17:F22,"Y")=6,"YES","NO")</f>
        <v/>
      </c>
    </row>
    <row r="25" ht="24" customHeight="1">
      <c r="B25" s="3" t="inlineStr">
        <is>
          <t>SECTION 2 — WEIGHTED SCORE  (enter 1-5 in yellow cells)</t>
        </is>
      </c>
    </row>
    <row r="26">
      <c r="B26" s="7" t="inlineStr">
        <is>
          <t>Dimension</t>
        </is>
      </c>
      <c r="C26" s="7" t="inlineStr">
        <is>
          <t>What it measures</t>
        </is>
      </c>
      <c r="D26" s="7" t="inlineStr">
        <is>
          <t>Weight</t>
        </is>
      </c>
      <c r="E26" s="7" t="inlineStr">
        <is>
          <t>Score 1-5</t>
        </is>
      </c>
      <c r="F26" s="7" t="inlineStr">
        <is>
          <t>Points</t>
        </is>
      </c>
      <c r="G26" s="7" t="inlineStr">
        <is>
          <t>Max</t>
        </is>
      </c>
    </row>
    <row r="27">
      <c r="B27" s="14" t="inlineStr">
        <is>
          <t>A. Management / Absentee</t>
        </is>
      </c>
      <c r="C27" s="15" t="inlineStr">
        <is>
          <t>GM + leaders in place; owner hands-off</t>
        </is>
      </c>
      <c r="D27" s="16" t="inlineStr">
        <is>
          <t>x5</t>
        </is>
      </c>
      <c r="E27" s="17" t="inlineStr"/>
      <c r="F27" s="16">
        <f>IF(E27="","",E27*5)</f>
        <v/>
      </c>
      <c r="G27" s="18" t="n">
        <v>25</v>
      </c>
    </row>
    <row r="28">
      <c r="B28" s="14" t="inlineStr">
        <is>
          <t>B. Profit &amp; Multiple</t>
        </is>
      </c>
      <c r="C28" s="15" t="inlineStr">
        <is>
          <t>EBITDA &gt;= $600K and sane asking multiple</t>
        </is>
      </c>
      <c r="D28" s="16" t="inlineStr">
        <is>
          <t>x4</t>
        </is>
      </c>
      <c r="E28" s="17" t="inlineStr"/>
      <c r="F28" s="16">
        <f>IF(E28="","",E28*4)</f>
        <v/>
      </c>
      <c r="G28" s="18" t="n">
        <v>20</v>
      </c>
    </row>
    <row r="29">
      <c r="B29" s="14" t="inlineStr">
        <is>
          <t>C. Recurring Revenue</t>
        </is>
      </c>
      <c r="C29" s="15" t="inlineStr">
        <is>
          <t>% under contract / recurring</t>
        </is>
      </c>
      <c r="D29" s="16" t="inlineStr">
        <is>
          <t>x4</t>
        </is>
      </c>
      <c r="E29" s="17" t="inlineStr"/>
      <c r="F29" s="16">
        <f>IF(E29="","",E29*4)</f>
        <v/>
      </c>
      <c r="G29" s="18" t="n">
        <v>20</v>
      </c>
    </row>
    <row r="30">
      <c r="B30" s="14" t="inlineStr">
        <is>
          <t>D. Ops-Improvement Upside</t>
        </is>
      </c>
      <c r="C30" s="15" t="inlineStr">
        <is>
          <t>Room for your optimization edge</t>
        </is>
      </c>
      <c r="D30" s="16" t="inlineStr">
        <is>
          <t>x3</t>
        </is>
      </c>
      <c r="E30" s="17" t="inlineStr"/>
      <c r="F30" s="16">
        <f>IF(E30="","",E30*3)</f>
        <v/>
      </c>
      <c r="G30" s="18" t="n">
        <v>15</v>
      </c>
    </row>
    <row r="31">
      <c r="B31" s="14" t="inlineStr">
        <is>
          <t>E. Capital / Equity Needed</t>
        </is>
      </c>
      <c r="C31" s="15" t="inlineStr">
        <is>
          <t>Lower equity injection scores higher</t>
        </is>
      </c>
      <c r="D31" s="16" t="inlineStr">
        <is>
          <t>x2</t>
        </is>
      </c>
      <c r="E31" s="17" t="inlineStr"/>
      <c r="F31" s="16">
        <f>IF(E31="","",E31*2)</f>
        <v/>
      </c>
      <c r="G31" s="18" t="n">
        <v>10</v>
      </c>
    </row>
    <row r="32">
      <c r="B32" s="14" t="inlineStr">
        <is>
          <t>F. Transferability &amp; Transition</t>
        </is>
      </c>
      <c r="C32" s="15" t="inlineStr">
        <is>
          <t>Seller note, transition, assignable contracts</t>
        </is>
      </c>
      <c r="D32" s="16" t="inlineStr">
        <is>
          <t>x2</t>
        </is>
      </c>
      <c r="E32" s="17" t="inlineStr"/>
      <c r="F32" s="16">
        <f>IF(E32="","",E32*2)</f>
        <v/>
      </c>
      <c r="G32" s="18" t="n">
        <v>10</v>
      </c>
    </row>
    <row r="33">
      <c r="B33" s="35" t="inlineStr">
        <is>
          <t>TOTAL</t>
        </is>
      </c>
      <c r="C33" s="36" t="n"/>
      <c r="D33" s="37" t="n"/>
      <c r="E33" s="20" t="n"/>
      <c r="F33" s="21">
        <f>SUM(F27:F32)</f>
        <v/>
      </c>
      <c r="G33" s="22" t="n">
        <v>100</v>
      </c>
    </row>
    <row r="35" ht="24" customHeight="1">
      <c r="B35" s="3" t="inlineStr">
        <is>
          <t>DECISION</t>
        </is>
      </c>
    </row>
    <row r="36">
      <c r="B36" s="23" t="inlineStr">
        <is>
          <t>VERDICT</t>
        </is>
      </c>
      <c r="C36" s="38" t="n"/>
      <c r="D36" s="24">
        <f>IF(F23="NO","STOP - KILL SWITCH FAILED",IF(F33="","Enter scores...",IF(F33&gt;=80,"ADVANCE - request financials + CIM",IF(F33&gt;=65,"CLARIFY - one call to resolve unknowns","PASS - log and move on"))))</f>
        <v/>
      </c>
      <c r="E36" s="39" t="n"/>
      <c r="F36" s="39" t="n"/>
      <c r="G36" s="38" t="n"/>
    </row>
    <row r="37">
      <c r="B37" s="40" t="n"/>
      <c r="C37" s="37" t="n"/>
      <c r="D37" s="40" t="n"/>
      <c r="E37" s="36" t="n"/>
      <c r="F37" s="36" t="n"/>
      <c r="G37" s="37" t="n"/>
    </row>
    <row r="38">
      <c r="B38" s="25" t="inlineStr">
        <is>
          <t>Override: any Section 3 industry red flag (see 'Industry Checks' tab) caps the verdict at CLARIFY until resolved.</t>
        </is>
      </c>
    </row>
    <row r="39">
      <c r="B39" s="26" t="inlineStr">
        <is>
          <t>Notes:</t>
        </is>
      </c>
    </row>
    <row r="40">
      <c r="B40" s="27" t="inlineStr"/>
      <c r="C40" s="39" t="n"/>
      <c r="D40" s="39" t="n"/>
      <c r="E40" s="39" t="n"/>
      <c r="F40" s="39" t="n"/>
      <c r="G40" s="38" t="n"/>
    </row>
    <row r="41">
      <c r="B41" s="41" t="n"/>
      <c r="G41" s="42" t="n"/>
    </row>
    <row r="42">
      <c r="B42" s="40" t="n"/>
      <c r="C42" s="36" t="n"/>
      <c r="D42" s="36" t="n"/>
      <c r="E42" s="36" t="n"/>
      <c r="F42" s="36" t="n"/>
      <c r="G42" s="37" t="n"/>
    </row>
  </sheetData>
  <mergeCells count="29">
    <mergeCell ref="C16:E16"/>
    <mergeCell ref="B2:G2"/>
    <mergeCell ref="C6:G6"/>
    <mergeCell ref="C22:E22"/>
    <mergeCell ref="C21:E21"/>
    <mergeCell ref="D36:G37"/>
    <mergeCell ref="B38:G38"/>
    <mergeCell ref="B36:C37"/>
    <mergeCell ref="B26"/>
    <mergeCell ref="C10:G10"/>
    <mergeCell ref="B40:G42"/>
    <mergeCell ref="C17:E17"/>
    <mergeCell ref="C9:G9"/>
    <mergeCell ref="B15:G15"/>
    <mergeCell ref="B33:D33"/>
    <mergeCell ref="C12:G12"/>
    <mergeCell ref="C19:E19"/>
    <mergeCell ref="B5:G5"/>
    <mergeCell ref="C11:G11"/>
    <mergeCell ref="C18:E18"/>
    <mergeCell ref="B35:G35"/>
    <mergeCell ref="C8:G8"/>
    <mergeCell ref="B25:G25"/>
    <mergeCell ref="B3:G3"/>
    <mergeCell ref="B23:E23"/>
    <mergeCell ref="C7:G7"/>
    <mergeCell ref="C13:G13"/>
    <mergeCell ref="C20:E20"/>
    <mergeCell ref="B39:G39"/>
  </mergeCells>
  <conditionalFormatting sqref="D36">
    <cfRule type="expression" priority="1" dxfId="0">
      <formula>ISNUMBER(SEARCH("ADVANCE",D36))</formula>
    </cfRule>
    <cfRule type="expression" priority="2" dxfId="1">
      <formula>ISNUMBER(SEARCH("CLARIFY",D36))</formula>
    </cfRule>
    <cfRule type="expression" priority="3" dxfId="2">
      <formula>OR(ISNUMBER(SEARCH("PASS",D36)),ISNUMBER(SEARCH("STOP",D36)))</formula>
    </cfRule>
  </conditionalFormatting>
  <dataValidations count="3">
    <dataValidation sqref="F17:F22" showDropDown="0" showInputMessage="0" showErrorMessage="0" allowBlank="1" type="list">
      <formula1>"Y,N"</formula1>
    </dataValidation>
    <dataValidation sqref="E27:E32" showDropDown="0" showInputMessage="0" showErrorMessage="0" allowBlank="1" errorTitle="Invalid score" error="Enter a whole number 1-5" type="whole" operator="between">
      <formula1>1</formula1>
      <formula2>5</formula2>
    </dataValidation>
    <dataValidation sqref="C9" showDropDown="0" showInputMessage="0" showErrorMessage="0" allowBlank="1" type="list">
      <formula1>"Commercial Cleaning,MSP / IT Managed Services,Commercial Landscaping,Self-Storage,RV/Boat Storage,Car Wash (express tunnel)"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4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2" ht="30" customHeight="1">
      <c r="B2" s="1" t="inlineStr">
        <is>
          <t>BROKER VETTING SCORECARD</t>
        </is>
      </c>
    </row>
    <row r="3">
      <c r="B3" s="2" t="inlineStr">
        <is>
          <t>Remember: a broker works for the SELLER. You're vetting for professionalism, honesty &amp; long-term fit — not loyalty to you.</t>
        </is>
      </c>
    </row>
    <row r="5" ht="24" customHeight="1">
      <c r="B5" s="3" t="inlineStr">
        <is>
          <t>BROKER INFORMATION</t>
        </is>
      </c>
    </row>
    <row r="6">
      <c r="B6" s="4" t="inlineStr">
        <is>
          <t>Broker name</t>
        </is>
      </c>
      <c r="C6" s="5" t="n"/>
    </row>
    <row r="7">
      <c r="B7" s="4" t="inlineStr">
        <is>
          <t>Firm</t>
        </is>
      </c>
      <c r="C7" s="5" t="n"/>
    </row>
    <row r="8">
      <c r="B8" s="4" t="inlineStr">
        <is>
          <t>State(s) covered</t>
        </is>
      </c>
      <c r="C8" s="5" t="n"/>
    </row>
    <row r="9">
      <c r="B9" s="4" t="inlineStr">
        <is>
          <t>Industries / specialty</t>
        </is>
      </c>
      <c r="C9" s="5" t="n"/>
    </row>
    <row r="10">
      <c r="B10" s="4" t="inlineStr">
        <is>
          <t>Credentials (CBI / M&amp;AMI?)</t>
        </is>
      </c>
      <c r="C10" s="5" t="n"/>
    </row>
    <row r="11">
      <c r="B11" s="4" t="inlineStr">
        <is>
          <t>Date evaluated</t>
        </is>
      </c>
      <c r="C11" s="5" t="n"/>
    </row>
    <row r="13" ht="24" customHeight="1">
      <c r="B13" s="3" t="inlineStr">
        <is>
          <t>SECTION A — TRACK RECORD &amp; PROCESS  (enter 1-5 in yellow cells)</t>
        </is>
      </c>
    </row>
    <row r="14">
      <c r="B14" s="7" t="inlineStr">
        <is>
          <t>Question</t>
        </is>
      </c>
      <c r="C14" s="9" t="n"/>
      <c r="D14" s="7" t="inlineStr">
        <is>
          <t>Weight</t>
        </is>
      </c>
      <c r="E14" s="7" t="inlineStr">
        <is>
          <t>Score 1-5</t>
        </is>
      </c>
      <c r="F14" s="7" t="inlineStr">
        <is>
          <t>Points</t>
        </is>
      </c>
      <c r="G14" s="7" t="inlineStr">
        <is>
          <t>Max</t>
        </is>
      </c>
    </row>
    <row r="15" ht="30" customHeight="1">
      <c r="B15" s="43" t="inlineStr">
        <is>
          <t>Deals closed last 24 mo (and # in my industry) — high activity</t>
        </is>
      </c>
      <c r="C15" s="44" t="n"/>
      <c r="D15" s="16" t="inlineStr">
        <is>
          <t>x4</t>
        </is>
      </c>
      <c r="E15" s="17" t="inlineStr"/>
      <c r="F15" s="16">
        <f>IF(E15="","",E15*4)</f>
        <v/>
      </c>
      <c r="G15" s="18" t="n">
        <v>20</v>
      </c>
    </row>
    <row r="16" ht="30" customHeight="1">
      <c r="B16" s="43" t="inlineStr">
        <is>
          <t>Selective on listings (vets sellers; real inventory)</t>
        </is>
      </c>
      <c r="C16" s="44" t="n"/>
      <c r="D16" s="16" t="inlineStr">
        <is>
          <t>x2</t>
        </is>
      </c>
      <c r="E16" s="17" t="inlineStr"/>
      <c r="F16" s="16">
        <f>IF(E16="","",E16*2)</f>
        <v/>
      </c>
      <c r="G16" s="18" t="n">
        <v>10</v>
      </c>
    </row>
    <row r="17" ht="30" customHeight="1">
      <c r="B17" s="43" t="inlineStr">
        <is>
          <t>Process fluency: LOI-&gt;close, QoE, DD, escrow, transition</t>
        </is>
      </c>
      <c r="C17" s="44" t="n"/>
      <c r="D17" s="16" t="inlineStr">
        <is>
          <t>x4</t>
        </is>
      </c>
      <c r="E17" s="17" t="inlineStr"/>
      <c r="F17" s="16">
        <f>IF(E17="","",E17*4)</f>
        <v/>
      </c>
      <c r="G17" s="18" t="n">
        <v>20</v>
      </c>
    </row>
    <row r="18" ht="30" customHeight="1">
      <c r="B18" s="43" t="inlineStr">
        <is>
          <t>Financials quality: provides CIM / recast P&amp;L / QoE</t>
        </is>
      </c>
      <c r="C18" s="44" t="n"/>
      <c r="D18" s="16" t="inlineStr">
        <is>
          <t>x3</t>
        </is>
      </c>
      <c r="E18" s="17" t="inlineStr"/>
      <c r="F18" s="16">
        <f>IF(E18="","",E18*3)</f>
        <v/>
      </c>
      <c r="G18" s="18" t="n">
        <v>15</v>
      </c>
    </row>
    <row r="19" ht="30" customHeight="1">
      <c r="B19" s="43" t="inlineStr">
        <is>
          <t>Gave an HONEST read on a deal's weaknesses</t>
        </is>
      </c>
      <c r="C19" s="44" t="n"/>
      <c r="D19" s="16" t="inlineStr">
        <is>
          <t>x3</t>
        </is>
      </c>
      <c r="E19" s="17" t="inlineStr"/>
      <c r="F19" s="16">
        <f>IF(E19="","",E19*3)</f>
        <v/>
      </c>
      <c r="G19" s="18" t="n">
        <v>15</v>
      </c>
    </row>
    <row r="20" ht="30" customHeight="1">
      <c r="B20" s="43" t="inlineStr">
        <is>
          <t>SBA-buyer comfort &amp; lender relationships</t>
        </is>
      </c>
      <c r="C20" s="44" t="n"/>
      <c r="D20" s="16" t="inlineStr">
        <is>
          <t>x2</t>
        </is>
      </c>
      <c r="E20" s="17" t="inlineStr"/>
      <c r="F20" s="16">
        <f>IF(E20="","",E20*2)</f>
        <v/>
      </c>
      <c r="G20" s="18" t="n">
        <v>10</v>
      </c>
    </row>
    <row r="21" ht="30" customHeight="1">
      <c r="B21" s="43" t="inlineStr">
        <is>
          <t>Buyer references provided AND checked out</t>
        </is>
      </c>
      <c r="C21" s="44" t="n"/>
      <c r="D21" s="16" t="inlineStr">
        <is>
          <t>x2</t>
        </is>
      </c>
      <c r="E21" s="17" t="inlineStr"/>
      <c r="F21" s="16">
        <f>IF(E21="","",E21*2)</f>
        <v/>
      </c>
      <c r="G21" s="18" t="n">
        <v>10</v>
      </c>
    </row>
    <row r="22">
      <c r="B22" s="19" t="inlineStr">
        <is>
          <t>TOTAL</t>
        </is>
      </c>
      <c r="E22" s="20" t="n"/>
      <c r="F22" s="21">
        <f>SUM(F15:F21)</f>
        <v/>
      </c>
      <c r="G22" s="22" t="n">
        <v>100</v>
      </c>
    </row>
    <row r="24" ht="24" customHeight="1">
      <c r="B24" s="3" t="inlineStr">
        <is>
          <t>SECTION B — GREEN FLAGS  (check Y if present)</t>
        </is>
      </c>
    </row>
    <row r="25">
      <c r="B25" s="11" t="inlineStr">
        <is>
          <t>Asks YOU sharp qualifying questions (capital, criteria, SBA pre-qual)</t>
        </is>
      </c>
      <c r="C25" s="44" t="n"/>
      <c r="D25" s="44" t="n"/>
      <c r="E25" s="44" t="n"/>
      <c r="F25" s="12" t="inlineStr"/>
    </row>
    <row r="26">
      <c r="B26" s="11" t="inlineStr">
        <is>
          <t>Realistic pricing on listings (not all at fantasy multiples)</t>
        </is>
      </c>
      <c r="C26" s="44" t="n"/>
      <c r="D26" s="44" t="n"/>
      <c r="E26" s="44" t="n"/>
      <c r="F26" s="12" t="inlineStr"/>
    </row>
    <row r="27">
      <c r="B27" s="11" t="inlineStr">
        <is>
          <t>Responsive &amp; organized; sends real CIMs / data rooms</t>
        </is>
      </c>
      <c r="C27" s="44" t="n"/>
      <c r="D27" s="44" t="n"/>
      <c r="E27" s="44" t="n"/>
      <c r="F27" s="12" t="inlineStr"/>
    </row>
    <row r="28">
      <c r="B28" s="11" t="inlineStr">
        <is>
          <t>Stays in touch even with no active deal for you</t>
        </is>
      </c>
      <c r="C28" s="44" t="n"/>
      <c r="D28" s="44" t="n"/>
      <c r="E28" s="44" t="n"/>
      <c r="F28" s="12" t="inlineStr"/>
    </row>
    <row r="29">
      <c r="B29" s="11" t="inlineStr">
        <is>
          <t>Comfortable walking a buyer away from a bad-fit deal</t>
        </is>
      </c>
      <c r="C29" s="44" t="n"/>
      <c r="D29" s="44" t="n"/>
      <c r="E29" s="44" t="n"/>
      <c r="F29" s="12" t="inlineStr"/>
    </row>
    <row r="30">
      <c r="B30" s="13" t="inlineStr">
        <is>
          <t>Green flags present:</t>
        </is>
      </c>
      <c r="F30" s="10">
        <f>COUNTIF(F25:F29,"Y")</f>
        <v/>
      </c>
    </row>
    <row r="32" ht="24" customHeight="1">
      <c r="B32" s="3" t="inlineStr">
        <is>
          <t>SECTION C — RED FLAGS  (check Y if present — any Y = caution)</t>
        </is>
      </c>
    </row>
    <row r="33">
      <c r="B33" s="45" t="inlineStr">
        <is>
          <t>Pressures false urgency ('sign today, others circling')</t>
        </is>
      </c>
      <c r="C33" s="44" t="n"/>
      <c r="D33" s="44" t="n"/>
      <c r="E33" s="44" t="n"/>
      <c r="F33" s="12" t="inlineStr"/>
    </row>
    <row r="34">
      <c r="B34" s="45" t="inlineStr">
        <is>
          <t>Won't share financials even with an NDA in place</t>
        </is>
      </c>
      <c r="C34" s="44" t="n"/>
      <c r="D34" s="44" t="n"/>
      <c r="E34" s="44" t="n"/>
      <c r="F34" s="12" t="inlineStr"/>
    </row>
    <row r="35">
      <c r="B35" s="45" t="inlineStr">
        <is>
          <t>Every listing is 'great' — none have any flaws</t>
        </is>
      </c>
      <c r="C35" s="44" t="n"/>
      <c r="D35" s="44" t="n"/>
      <c r="E35" s="44" t="n"/>
      <c r="F35" s="12" t="inlineStr"/>
    </row>
    <row r="36">
      <c r="B36" s="45" t="inlineStr">
        <is>
          <t>Can't / won't provide buyer references</t>
        </is>
      </c>
      <c r="C36" s="44" t="n"/>
      <c r="D36" s="44" t="n"/>
      <c r="E36" s="44" t="n"/>
      <c r="F36" s="12" t="inlineStr"/>
    </row>
    <row r="37">
      <c r="B37" s="45" t="inlineStr">
        <is>
          <t>Vague on process, fuzzy on numbers, slow to respond</t>
        </is>
      </c>
      <c r="C37" s="44" t="n"/>
      <c r="D37" s="44" t="n"/>
      <c r="E37" s="44" t="n"/>
      <c r="F37" s="12" t="inlineStr"/>
    </row>
    <row r="38">
      <c r="B38" s="45" t="inlineStr">
        <is>
          <t>Pushes THEIR listing over your stated criteria</t>
        </is>
      </c>
      <c r="C38" s="44" t="n"/>
      <c r="D38" s="44" t="n"/>
      <c r="E38" s="44" t="n"/>
      <c r="F38" s="12" t="inlineStr"/>
    </row>
    <row r="39">
      <c r="B39" s="13" t="inlineStr">
        <is>
          <t>Red flags present:</t>
        </is>
      </c>
      <c r="F39" s="10">
        <f>COUNTIF(F33:F38,"Y")</f>
        <v/>
      </c>
    </row>
    <row r="41" ht="24" customHeight="1">
      <c r="B41" s="3" t="inlineStr">
        <is>
          <t>VERDICT</t>
        </is>
      </c>
    </row>
    <row r="42">
      <c r="B42" s="23" t="inlineStr">
        <is>
          <t>RATING</t>
        </is>
      </c>
      <c r="D42" s="24">
        <f>IF(F39&gt;0,"CAUTION - red flag present",IF(F22="","Enter scores...",IF(F22&gt;=80,"A-LIST - prioritize this broker",IF(F22&gt;=60,"KEEP IN NETWORK","PASS"))))</f>
        <v/>
      </c>
    </row>
    <row r="43"/>
    <row r="45">
      <c r="B45" s="26" t="inlineStr">
        <is>
          <t>Notes / reference-check results:</t>
        </is>
      </c>
    </row>
    <row r="46">
      <c r="B46" s="27" t="inlineStr"/>
    </row>
    <row r="47"/>
    <row r="48"/>
  </sheetData>
  <mergeCells count="39">
    <mergeCell ref="B2:G2"/>
    <mergeCell ref="B16:C16"/>
    <mergeCell ref="B46:G48"/>
    <mergeCell ref="C6:G6"/>
    <mergeCell ref="B37:E37"/>
    <mergeCell ref="B30:E30"/>
    <mergeCell ref="B33:E33"/>
    <mergeCell ref="B13:G13"/>
    <mergeCell ref="B18:C18"/>
    <mergeCell ref="B36:E36"/>
    <mergeCell ref="B26:E26"/>
    <mergeCell ref="B21:C21"/>
    <mergeCell ref="B35:E35"/>
    <mergeCell ref="C10:G10"/>
    <mergeCell ref="B14:C14"/>
    <mergeCell ref="B25:E25"/>
    <mergeCell ref="B17:C17"/>
    <mergeCell ref="C9:G9"/>
    <mergeCell ref="B24:G24"/>
    <mergeCell ref="B27:E27"/>
    <mergeCell ref="B5:G5"/>
    <mergeCell ref="B19:C19"/>
    <mergeCell ref="B45:G45"/>
    <mergeCell ref="B41:G41"/>
    <mergeCell ref="C11:G11"/>
    <mergeCell ref="B32:G32"/>
    <mergeCell ref="B39:E39"/>
    <mergeCell ref="C8:G8"/>
    <mergeCell ref="D42:G43"/>
    <mergeCell ref="B3:G3"/>
    <mergeCell ref="C7:G7"/>
    <mergeCell ref="B15:C15"/>
    <mergeCell ref="B22:D22"/>
    <mergeCell ref="B20:C20"/>
    <mergeCell ref="B38:E38"/>
    <mergeCell ref="B29:E29"/>
    <mergeCell ref="B42:C43"/>
    <mergeCell ref="B34:E34"/>
    <mergeCell ref="B28:E28"/>
  </mergeCells>
  <conditionalFormatting sqref="D42">
    <cfRule type="expression" priority="1" dxfId="0">
      <formula>ISNUMBER(SEARCH("A-LIST",D42))</formula>
    </cfRule>
    <cfRule type="expression" priority="2" dxfId="1">
      <formula>ISNUMBER(SEARCH("KEEP",D42))</formula>
    </cfRule>
    <cfRule type="expression" priority="3" dxfId="2">
      <formula>OR(ISNUMBER(SEARCH("PASS",D42)),ISNUMBER(SEARCH("CAUTION",D42)))</formula>
    </cfRule>
  </conditionalFormatting>
  <dataValidations count="3">
    <dataValidation sqref="F25 F26 F27 F28 F29" showDropDown="0" showInputMessage="0" showErrorMessage="0" allowBlank="1" type="list">
      <formula1>"Y,N"</formula1>
    </dataValidation>
    <dataValidation sqref="F33 F34 F35 F36 F37 F38" showDropDown="0" showInputMessage="0" showErrorMessage="0" allowBlank="1" type="list">
      <formula1>"Y,N"</formula1>
    </dataValidation>
    <dataValidation sqref="E15:E21" showDropDown="0" showInputMessage="0" showErrorMessage="0" allowBlank="1" errorTitle="Invalid" error="Enter 1-5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26" customHeight="1">
      <c r="B2" s="28" t="inlineStr">
        <is>
          <t>SCORING GUIDE — anchors for each dimension (score 1-5)</t>
        </is>
      </c>
    </row>
    <row r="4">
      <c r="B4" s="7" t="inlineStr">
        <is>
          <t>Dimension</t>
        </is>
      </c>
      <c r="C4" s="7" t="inlineStr">
        <is>
          <t>Score 5</t>
        </is>
      </c>
      <c r="D4" s="7" t="inlineStr">
        <is>
          <t>Score 4</t>
        </is>
      </c>
      <c r="E4" s="7" t="inlineStr">
        <is>
          <t>Score 3</t>
        </is>
      </c>
      <c r="F4" s="7" t="inlineStr">
        <is>
          <t>Score 2</t>
        </is>
      </c>
      <c r="G4" s="7" t="inlineStr">
        <is>
          <t>Score 1</t>
        </is>
      </c>
    </row>
    <row r="5" ht="46" customHeight="1">
      <c r="B5" s="14" t="inlineStr">
        <is>
          <t>A. Management / Absentee</t>
        </is>
      </c>
      <c r="C5" s="29" t="inlineStr">
        <is>
          <t>GM + dept leads named; owner semi-absentee (&lt;10 hrs/wk)</t>
        </is>
      </c>
      <c r="D5" s="29" t="inlineStr">
        <is>
          <t>GM in place, owner part-time</t>
        </is>
      </c>
      <c r="E5" s="29" t="inlineStr">
        <is>
          <t>Some mgmt, owner still central</t>
        </is>
      </c>
      <c r="F5" s="29" t="inlineStr">
        <is>
          <t>Few employees, no clear #2</t>
        </is>
      </c>
      <c r="G5" s="29" t="inlineStr">
        <is>
          <t>Owner IS the business</t>
        </is>
      </c>
    </row>
    <row r="6" ht="46" customHeight="1">
      <c r="B6" s="14" t="inlineStr">
        <is>
          <t>B. Profit &amp; Multiple</t>
        </is>
      </c>
      <c r="C6" s="29" t="inlineStr">
        <is>
          <t>EBITDA &gt;= $800K AND asking &lt;=5x</t>
        </is>
      </c>
      <c r="D6" s="29" t="inlineStr">
        <is>
          <t>EBITDA &gt;= $600K AND asking &lt;=6x</t>
        </is>
      </c>
      <c r="E6" s="29" t="inlineStr">
        <is>
          <t>EBITDA ~ $600K, asking 6-7x</t>
        </is>
      </c>
      <c r="F6" s="29" t="inlineStr">
        <is>
          <t>EBITDA &lt; $600K (close) or &gt;7x</t>
        </is>
      </c>
      <c r="G6" s="29" t="inlineStr">
        <is>
          <t>EBITDA well under $600K or &gt;8x</t>
        </is>
      </c>
    </row>
    <row r="7" ht="46" customHeight="1">
      <c r="B7" s="14" t="inlineStr">
        <is>
          <t>C. Recurring Revenue</t>
        </is>
      </c>
      <c r="C7" s="29" t="inlineStr">
        <is>
          <t>80%+ recurring, multi-year, auto-renew</t>
        </is>
      </c>
      <c r="D7" s="29" t="inlineStr">
        <is>
          <t>60-80% recurring</t>
        </is>
      </c>
      <c r="E7" s="29" t="inlineStr">
        <is>
          <t>40-60% recurring</t>
        </is>
      </c>
      <c r="F7" s="29" t="inlineStr">
        <is>
          <t>20-40% recurring</t>
        </is>
      </c>
      <c r="G7" s="29" t="inlineStr">
        <is>
          <t>&lt;20% / transactional</t>
        </is>
      </c>
    </row>
    <row r="8" ht="46" customHeight="1">
      <c r="B8" s="14" t="inlineStr">
        <is>
          <t>D. Ops-Improvement Upside</t>
        </is>
      </c>
      <c r="C8" s="29" t="inlineStr">
        <is>
          <t>Clear inefficiency: manual, no software, undermanaged</t>
        </is>
      </c>
      <c r="D8" s="30" t="inlineStr">
        <is>
          <t>—</t>
        </is>
      </c>
      <c r="E8" s="29" t="inlineStr">
        <is>
          <t>Some systems, moderate upside</t>
        </is>
      </c>
      <c r="F8" s="30" t="inlineStr">
        <is>
          <t>—</t>
        </is>
      </c>
      <c r="G8" s="29" t="inlineStr">
        <is>
          <t>Already PE-optimized / fully systematized</t>
        </is>
      </c>
    </row>
    <row r="9" ht="46" customHeight="1">
      <c r="B9" s="14" t="inlineStr">
        <is>
          <t>E. Capital / Equity Needed</t>
        </is>
      </c>
      <c r="C9" s="29" t="inlineStr">
        <is>
          <t>Equity &lt;= $300K (asset-light)</t>
        </is>
      </c>
      <c r="D9" s="30" t="inlineStr">
        <is>
          <t>—</t>
        </is>
      </c>
      <c r="E9" s="29" t="inlineStr">
        <is>
          <t>Equity $300-600K</t>
        </is>
      </c>
      <c r="F9" s="30" t="inlineStr">
        <is>
          <t>—</t>
        </is>
      </c>
      <c r="G9" s="29" t="inlineStr">
        <is>
          <t>Equity &gt; $700K (heavy real estate)</t>
        </is>
      </c>
    </row>
    <row r="10" ht="46" customHeight="1">
      <c r="B10" s="14" t="inlineStr">
        <is>
          <t>F. Transferability &amp; Transition</t>
        </is>
      </c>
      <c r="C10" s="29" t="inlineStr">
        <is>
          <t>Seller note AND 6-12mo transition; assignable</t>
        </is>
      </c>
      <c r="D10" s="30" t="inlineStr">
        <is>
          <t>—</t>
        </is>
      </c>
      <c r="E10" s="29" t="inlineStr">
        <is>
          <t>One of those present</t>
        </is>
      </c>
      <c r="F10" s="30" t="inlineStr">
        <is>
          <t>—</t>
        </is>
      </c>
      <c r="G10" s="29" t="inlineStr">
        <is>
          <t>Clean fast exit, no note, no transition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2" customWidth="1" min="3" max="3"/>
    <col width="42" customWidth="1" min="4" max="4"/>
  </cols>
  <sheetData>
    <row r="2" ht="26" customHeight="1">
      <c r="B2" s="28" t="inlineStr">
        <is>
          <t>SECTION 3 — INDUSTRY-SPECIFIC 60-SECOND KILLERS</t>
        </is>
      </c>
    </row>
    <row r="3">
      <c r="B3" s="31" t="inlineStr">
        <is>
          <t>Run only the row matching the deal's industry. A bad answer caps the verdict at CLARIFY regardless of score.</t>
        </is>
      </c>
    </row>
    <row r="5">
      <c r="B5" s="7" t="inlineStr">
        <is>
          <t>Industry</t>
        </is>
      </c>
      <c r="C5" s="7" t="inlineStr">
        <is>
          <t>Ask / Check</t>
        </is>
      </c>
      <c r="D5" s="7" t="inlineStr">
        <is>
          <t>Red flag = bad answer</t>
        </is>
      </c>
    </row>
    <row r="6" ht="54" customHeight="1">
      <c r="B6" s="32" t="inlineStr">
        <is>
          <t>Commercial Cleaning</t>
        </is>
      </c>
      <c r="C6" s="29" t="inlineStr">
        <is>
          <t>Top client % of revenue? Written contracts? Payroll type?</t>
        </is>
      </c>
      <c r="D6" s="33" t="inlineStr">
        <is>
          <t>Top client &gt;30%; handshake deals; cash/1099 payroll</t>
        </is>
      </c>
    </row>
    <row r="7" ht="54" customHeight="1">
      <c r="B7" s="32" t="inlineStr">
        <is>
          <t>MSP / IT Managed Svcs</t>
        </is>
      </c>
      <c r="C7" s="29" t="inlineStr">
        <is>
          <t>MRR % of revenue? Gross retention? Top-3 client %?</t>
        </is>
      </c>
      <c r="D7" s="33" t="inlineStr">
        <is>
          <t>MRR &lt;70%; GRR &lt;90%; top-3 &gt;40%; project-heavy</t>
        </is>
      </c>
    </row>
    <row r="8" ht="54" customHeight="1">
      <c r="B8" s="32" t="inlineStr">
        <is>
          <t>Commercial Landscaping</t>
        </is>
      </c>
      <c r="C8" s="29" t="inlineStr">
        <is>
          <t>Maintenance vs install %? Winter/snow revenue? Equipment age? Labor source?</t>
        </is>
      </c>
      <c r="D8" s="33" t="inlineStr">
        <is>
          <t>&lt;50% maintenance; no winter line; aged fleet; unstable H-2B labor</t>
        </is>
      </c>
    </row>
    <row r="9" ht="54" customHeight="1">
      <c r="B9" s="32" t="inlineStr">
        <is>
          <t>Self-Storage</t>
        </is>
      </c>
      <c r="C9" s="29" t="inlineStr">
        <is>
          <t>Economic (not just physical) occupancy? In-place vs market rents? New supply nearby?</t>
        </is>
      </c>
      <c r="D9" s="33" t="inlineStr">
        <is>
          <t>Occupancy propped by discounts; at-market rents (no upside); competitor building</t>
        </is>
      </c>
    </row>
    <row r="10" ht="54" customHeight="1">
      <c r="B10" s="32" t="inlineStr">
        <is>
          <t>RV/Boat Storage</t>
        </is>
      </c>
      <c r="C10" s="29" t="inlineStr">
        <is>
          <t>Stabilized or leasing up? Land owned/zoned? Region?</t>
        </is>
      </c>
      <c r="D10" s="33" t="inlineStr">
        <is>
          <t>In lease-up (not stabilized); ground lease/zoning risk; non-sunbelt seasonal</t>
        </is>
      </c>
    </row>
    <row r="11" ht="54" customHeight="1">
      <c r="B11" s="32" t="inlineStr">
        <is>
          <t>Car Wash (express)</t>
        </is>
      </c>
      <c r="C11" s="29" t="inlineStr">
        <is>
          <t>Membership penetration? Churn trend (voluntary vs involuntary)? Equipment age? Owns RE? Competitor pipeline?</t>
        </is>
      </c>
      <c r="D11" s="33" t="inlineStr">
        <is>
          <t>Low membership/retail-only; rising voluntary churn; old tunnel; ground lease; new wash nearby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0" customWidth="1" min="3" max="3"/>
  </cols>
  <sheetData>
    <row r="2" ht="26" customHeight="1">
      <c r="B2" s="28" t="inlineStr">
        <is>
          <t>BUY BOX — REFERENCE CRITERIA</t>
        </is>
      </c>
    </row>
    <row r="4" ht="18" customHeight="1">
      <c r="B4" s="34" t="inlineStr">
        <is>
          <t>Max deal size</t>
        </is>
      </c>
      <c r="C4" s="11" t="inlineStr">
        <is>
          <t>$10M (SBA 7(a)+504 combined, eff. July 4 2026)</t>
        </is>
      </c>
    </row>
    <row r="5" ht="18" customHeight="1">
      <c r="B5" s="34" t="inlineStr">
        <is>
          <t>Min EBITDA / SDE</t>
        </is>
      </c>
      <c r="C5" s="11" t="inlineStr">
        <is>
          <t>$600K</t>
        </is>
      </c>
    </row>
    <row r="6" ht="18" customHeight="1">
      <c r="B6" s="34" t="inlineStr">
        <is>
          <t>Target multiple</t>
        </is>
      </c>
      <c r="C6" s="11" t="inlineStr">
        <is>
          <t>4-6x EBITDA (asset deals = cap-rate driven)</t>
        </is>
      </c>
    </row>
    <row r="7" ht="18" customHeight="1">
      <c r="B7" s="34" t="inlineStr">
        <is>
          <t>Financing</t>
        </is>
      </c>
      <c r="C7" s="11" t="inlineStr">
        <is>
          <t>SBA 7(a) up to $5M; 504 for real estate; ~10% equity</t>
        </is>
      </c>
    </row>
    <row r="8" ht="18" customHeight="1">
      <c r="B8" s="34" t="inlineStr">
        <is>
          <t>Min DSCR</t>
        </is>
      </c>
      <c r="C8" s="11" t="inlineStr">
        <is>
          <t>1.25x (SBA floor) - keep cushion above</t>
        </is>
      </c>
    </row>
    <row r="9" ht="18" customHeight="1">
      <c r="B9" s="34" t="inlineStr">
        <is>
          <t>Revenue type</t>
        </is>
      </c>
      <c r="C9" s="11" t="inlineStr">
        <is>
          <t>Recurring / contract-based</t>
        </is>
      </c>
    </row>
    <row r="10" ht="18" customHeight="1">
      <c r="B10" s="34" t="inlineStr">
        <is>
          <t>Management</t>
        </is>
      </c>
      <c r="C10" s="11" t="inlineStr">
        <is>
          <t>GM minimum in place</t>
        </is>
      </c>
    </row>
    <row r="11" ht="18" customHeight="1">
      <c r="B11" s="34" t="inlineStr">
        <is>
          <t>Geography</t>
        </is>
      </c>
      <c r="C11" s="11" t="inlineStr">
        <is>
          <t>FL, NJ, NY, PA, CT</t>
        </is>
      </c>
    </row>
    <row r="12" ht="18" customHeight="1">
      <c r="B12" s="34" t="inlineStr">
        <is>
          <t>Seller profile</t>
        </is>
      </c>
      <c r="C12" s="11" t="inlineStr">
        <is>
          <t>Retiring, motivated, open to seller note</t>
        </is>
      </c>
    </row>
    <row r="13" ht="18" customHeight="1">
      <c r="B13" s="34" t="inlineStr">
        <is>
          <t>Business health</t>
        </is>
      </c>
      <c r="C13" s="11" t="inlineStr">
        <is>
          <t>Stable or growing (not turnaround)</t>
        </is>
      </c>
    </row>
    <row r="14" ht="18" customHeight="1">
      <c r="B14" s="34" t="inlineStr">
        <is>
          <t>Seller note</t>
        </is>
      </c>
      <c r="C14" s="11" t="inlineStr">
        <is>
          <t>Yes - acceptable / preferred</t>
        </is>
      </c>
    </row>
    <row r="15" ht="18" customHeight="1">
      <c r="B15" s="34" t="inlineStr">
        <is>
          <t>Transition</t>
        </is>
      </c>
      <c r="C15" s="11" t="inlineStr">
        <is>
          <t>6-12 months, performance-tied</t>
        </is>
      </c>
    </row>
    <row r="16" ht="18" customHeight="1">
      <c r="B16" s="34" t="inlineStr">
        <is>
          <t>Involvement</t>
        </is>
      </c>
      <c r="C16" s="11" t="inlineStr">
        <is>
          <t>Active remotely; not required on-site</t>
        </is>
      </c>
    </row>
    <row r="17" ht="18" customHeight="1">
      <c r="B17" s="34" t="inlineStr">
        <is>
          <t>Hard no</t>
        </is>
      </c>
      <c r="C17" s="11" t="inlineStr">
        <is>
          <t>Restaurants (hard to manage remotely)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2026-05-31T15:53:43Z</dcterms:created>
  <dcterms:modified xmlns:dcterms="http://purl.org/dc/terms/" xmlns:xsi="http://www.w3.org/2001/XMLSchema-instance" xsi:type="dcterms:W3CDTF">2026-05-31T19:57:32Z</dcterms:modified>
</cp:coreProperties>
</file>